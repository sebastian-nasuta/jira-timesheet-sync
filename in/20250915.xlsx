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.nasuta\Desktop\worklogs\in\"/>
    </mc:Choice>
  </mc:AlternateContent>
  <xr:revisionPtr revIDLastSave="0" documentId="13_ncr:1_{E8C3E223-7049-4C0A-AC7D-F900C6D41D88}" xr6:coauthVersionLast="47" xr6:coauthVersionMax="47" xr10:uidLastSave="{00000000-0000-0000-0000-000000000000}"/>
  <bookViews>
    <workbookView xWindow="-120" yWindow="-120" windowWidth="29040" windowHeight="15720" xr2:uid="{6D738DBF-89E6-418F-9E09-030F6C32D0E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G29" i="1"/>
  <c r="F30" i="1"/>
  <c r="G30" i="1"/>
  <c r="F31" i="1"/>
  <c r="G31" i="1"/>
  <c r="F32" i="1"/>
  <c r="G32" i="1"/>
  <c r="G33" i="1"/>
  <c r="F33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39" i="1"/>
  <c r="F39" i="1"/>
  <c r="G38" i="1"/>
  <c r="F38" i="1"/>
  <c r="G37" i="1"/>
  <c r="F37" i="1"/>
  <c r="G36" i="1"/>
  <c r="F36" i="1"/>
  <c r="G35" i="1"/>
  <c r="F35" i="1"/>
  <c r="G18" i="1"/>
  <c r="F18" i="1"/>
  <c r="G12" i="1"/>
  <c r="G13" i="1"/>
  <c r="G14" i="1"/>
  <c r="G15" i="1"/>
  <c r="G16" i="1"/>
  <c r="F12" i="1"/>
  <c r="F13" i="1"/>
  <c r="F14" i="1"/>
  <c r="F15" i="1"/>
  <c r="F16" i="1"/>
  <c r="F9" i="1" l="1"/>
  <c r="G10" i="1"/>
  <c r="G11" i="1"/>
  <c r="G17" i="1"/>
  <c r="F10" i="1"/>
  <c r="F11" i="1"/>
  <c r="F17" i="1"/>
  <c r="G9" i="1"/>
  <c r="G3" i="1"/>
  <c r="G4" i="1"/>
  <c r="G5" i="1"/>
  <c r="G6" i="1"/>
  <c r="G7" i="1"/>
  <c r="F3" i="1"/>
  <c r="F4" i="1"/>
  <c r="F5" i="1"/>
  <c r="F6" i="1"/>
  <c r="F7" i="1"/>
  <c r="J3" i="1"/>
  <c r="K3" i="1" s="1"/>
  <c r="J4" i="1" l="1"/>
  <c r="K4" i="1" s="1"/>
</calcChain>
</file>

<file path=xl/sharedStrings.xml><?xml version="1.0" encoding="utf-8"?>
<sst xmlns="http://schemas.openxmlformats.org/spreadsheetml/2006/main" count="28" uniqueCount="28">
  <si>
    <t>TASK</t>
  </si>
  <si>
    <t>Przerwa</t>
  </si>
  <si>
    <t>INNE</t>
  </si>
  <si>
    <t>TIME</t>
  </si>
  <si>
    <t>EST_TIME</t>
  </si>
  <si>
    <t>REM_TIME</t>
  </si>
  <si>
    <t>SUMA:</t>
  </si>
  <si>
    <t>TODO:</t>
  </si>
  <si>
    <t>%</t>
  </si>
  <si>
    <t>code review - przegląd kodu pod kątem błędów, optymalizacji i zgodności ze standardami jakości</t>
  </si>
  <si>
    <t xml:space="preserve"> </t>
  </si>
  <si>
    <t>Daily</t>
  </si>
  <si>
    <t>SYNC</t>
  </si>
  <si>
    <t>COMMENT</t>
  </si>
  <si>
    <t>Przegląd poczty i statusów w Jira. Uzupełnianie timesheet i obecności.</t>
  </si>
  <si>
    <t>[ABC-123] Internal issue</t>
  </si>
  <si>
    <t>[ABC-124] Internal meeting</t>
  </si>
  <si>
    <t>[ABC-125] Internal training</t>
  </si>
  <si>
    <t>[ABC-126] Break</t>
  </si>
  <si>
    <t>ABC</t>
  </si>
  <si>
    <t>DEF</t>
  </si>
  <si>
    <t>GHI</t>
  </si>
  <si>
    <t>[DEF-234] HR - Spotkania wewnętrzne</t>
  </si>
  <si>
    <t>[DEF-235] Prace okołoprojektowe</t>
  </si>
  <si>
    <t>[GHI-456] Project Management</t>
  </si>
  <si>
    <t>[GHI-457] Daily</t>
  </si>
  <si>
    <t>[GHI-458] Obsługa baz danych</t>
  </si>
  <si>
    <t>Rozwiązywanie problemów z generowaniem migrations bundle. Implementowanie generowania bundle w ramach procesu nuke build. Rozwiązywanie problemów z procesem budowania aplikacji przez nuke build. Rozpoczęcie implementacji generowania bundle w ramach procesu nuke build.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</si>
</sst>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rgb="FF505F79"/>
      <name val="Courier New"/>
      <family val="3"/>
      <charset val="238"/>
    </font>
    <font>
      <sz val="10"/>
      <color rgb="FFA9A196"/>
      <name val="Courier New"/>
      <family val="3"/>
      <charset val="238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/>
    <xf numFmtId="0" fontId="0" fillId="2" borderId="0" xfId="0" applyFill="1"/>
    <xf numFmtId="9" fontId="4" fillId="0" borderId="0" xfId="2" applyFont="1" applyAlignment="1">
      <alignment horizontal="center"/>
    </xf>
    <xf numFmtId="9" fontId="4" fillId="2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9" fontId="0" fillId="2" borderId="0" xfId="2" applyFont="1" applyFill="1" applyAlignment="1">
      <alignment horizontal="center"/>
    </xf>
    <xf numFmtId="0" fontId="5" fillId="0" borderId="0" xfId="1" applyFont="1"/>
    <xf numFmtId="2" fontId="4" fillId="0" borderId="0" xfId="0" applyNumberFormat="1" applyFont="1" applyAlignment="1">
      <alignment horizontal="center"/>
    </xf>
    <xf numFmtId="2" fontId="4" fillId="2" borderId="0" xfId="0" applyNumberFormat="1" applyFont="1" applyFill="1"/>
    <xf numFmtId="2" fontId="0" fillId="0" borderId="0" xfId="0" applyNumberFormat="1"/>
    <xf numFmtId="2" fontId="0" fillId="2" borderId="0" xfId="0" applyNumberFormat="1" applyFill="1"/>
    <xf numFmtId="2" fontId="4" fillId="0" borderId="0" xfId="0" applyNumberFormat="1" applyFont="1"/>
    <xf numFmtId="2" fontId="0" fillId="0" borderId="0" xfId="0" applyNumberFormat="1" applyAlignment="1">
      <alignment horizontal="left" vertical="center" indent="1"/>
    </xf>
    <xf numFmtId="2" fontId="3" fillId="0" borderId="0" xfId="1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2" xfId="0" applyNumberFormat="1" applyFont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0" fontId="0" fillId="0" borderId="3" xfId="0" applyBorder="1"/>
    <xf numFmtId="0" fontId="0" fillId="0" borderId="6" xfId="0" applyBorder="1"/>
    <xf numFmtId="2" fontId="6" fillId="0" borderId="0" xfId="0" applyNumberFormat="1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3" fillId="0" borderId="0" xfId="1"/>
    <xf numFmtId="0" fontId="1" fillId="0" borderId="0" xfId="0" applyFont="1" applyAlignment="1">
      <alignment wrapText="1"/>
    </xf>
    <xf numFmtId="0" fontId="10" fillId="0" borderId="0" xfId="1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Hiperłącze" xfId="1" builtinId="8"/>
    <cellStyle name="Normalny" xfId="0" builtinId="0"/>
    <cellStyle name="Procentowy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6B6B-DE42-4B35-BF62-1748BCE60175}">
  <dimension ref="A1:K57"/>
  <sheetViews>
    <sheetView tabSelected="1" workbookViewId="0">
      <selection activeCell="B25" sqref="B25"/>
    </sheetView>
  </sheetViews>
  <sheetFormatPr defaultRowHeight="15" outlineLevelRow="1" x14ac:dyDescent="0.25"/>
  <cols>
    <col min="1" max="1" width="72.140625" style="1" customWidth="1"/>
    <col min="2" max="2" width="88.7109375" style="31" customWidth="1"/>
    <col min="3" max="3" width="5.7109375" style="41" customWidth="1"/>
    <col min="4" max="4" width="13" style="23" customWidth="1"/>
    <col min="5" max="5" width="11.85546875" style="12" customWidth="1"/>
    <col min="6" max="6" width="13.140625" style="12" customWidth="1"/>
    <col min="7" max="7" width="10.42578125" style="7" bestFit="1" customWidth="1"/>
    <col min="8" max="8" width="10.85546875" customWidth="1"/>
    <col min="9" max="9" width="11.140625" customWidth="1"/>
    <col min="10" max="10" width="11" customWidth="1"/>
    <col min="11" max="11" width="11.5703125" customWidth="1"/>
    <col min="12" max="12" width="9.7109375" customWidth="1"/>
  </cols>
  <sheetData>
    <row r="1" spans="1:11" s="2" customFormat="1" x14ac:dyDescent="0.25">
      <c r="A1" s="2" t="s">
        <v>0</v>
      </c>
      <c r="B1" s="32" t="s">
        <v>13</v>
      </c>
      <c r="C1" s="2" t="s">
        <v>12</v>
      </c>
      <c r="D1" s="19" t="s">
        <v>3</v>
      </c>
      <c r="E1" s="10" t="s">
        <v>4</v>
      </c>
      <c r="F1" s="10" t="s">
        <v>5</v>
      </c>
      <c r="G1" s="5" t="s">
        <v>8</v>
      </c>
      <c r="I1" t="s">
        <v>9</v>
      </c>
      <c r="J1" s="2" t="s">
        <v>10</v>
      </c>
    </row>
    <row r="2" spans="1:11" s="3" customFormat="1" ht="15.75" thickBot="1" x14ac:dyDescent="0.3">
      <c r="A2" s="3" t="s">
        <v>19</v>
      </c>
      <c r="B2" s="33"/>
      <c r="C2" s="40"/>
      <c r="D2" s="20"/>
      <c r="E2" s="11"/>
      <c r="F2" s="11"/>
      <c r="G2" s="6"/>
    </row>
    <row r="3" spans="1:11" x14ac:dyDescent="0.25">
      <c r="A3" s="1" t="s">
        <v>15</v>
      </c>
      <c r="B3" s="31" t="s">
        <v>14</v>
      </c>
      <c r="D3" s="21">
        <v>1.0416666666666666E-2</v>
      </c>
      <c r="E3" s="12">
        <v>0.25</v>
      </c>
      <c r="F3" s="12">
        <f t="shared" ref="F3:F6" si="0">MAX(E3-D3*24,0)</f>
        <v>0</v>
      </c>
      <c r="G3" s="7">
        <f t="shared" ref="G3:G6" si="1">IF(E3&gt;0,24*D3/E3,0)</f>
        <v>1</v>
      </c>
      <c r="I3" s="17" t="s">
        <v>6</v>
      </c>
      <c r="J3" s="24">
        <f>SUM(D:D)</f>
        <v>0.33333333333333331</v>
      </c>
      <c r="K3" s="26">
        <f>J3*24</f>
        <v>8</v>
      </c>
    </row>
    <row r="4" spans="1:11" ht="15.75" thickBot="1" x14ac:dyDescent="0.3">
      <c r="B4" s="36"/>
      <c r="D4" s="21">
        <v>0</v>
      </c>
      <c r="F4" s="12">
        <f t="shared" si="0"/>
        <v>0</v>
      </c>
      <c r="G4" s="7">
        <f t="shared" si="1"/>
        <v>0</v>
      </c>
      <c r="I4" s="18" t="s">
        <v>7</v>
      </c>
      <c r="J4" s="25">
        <f>IF(8/24&lt;=J3, 0, SUM(8/24,-J3))</f>
        <v>0</v>
      </c>
      <c r="K4" s="27">
        <f>J4*24</f>
        <v>0</v>
      </c>
    </row>
    <row r="5" spans="1:11" x14ac:dyDescent="0.25">
      <c r="A5" s="1" t="s">
        <v>16</v>
      </c>
      <c r="D5" s="21">
        <v>0</v>
      </c>
      <c r="F5" s="12">
        <f t="shared" si="0"/>
        <v>0</v>
      </c>
      <c r="G5" s="7">
        <f t="shared" si="1"/>
        <v>0</v>
      </c>
    </row>
    <row r="6" spans="1:11" x14ac:dyDescent="0.25">
      <c r="A6" s="1" t="s">
        <v>17</v>
      </c>
      <c r="D6" s="21">
        <v>0</v>
      </c>
      <c r="F6" s="12">
        <f t="shared" si="0"/>
        <v>0</v>
      </c>
      <c r="G6" s="7">
        <f t="shared" si="1"/>
        <v>0</v>
      </c>
    </row>
    <row r="7" spans="1:11" x14ac:dyDescent="0.25">
      <c r="A7" s="1" t="s">
        <v>18</v>
      </c>
      <c r="B7" s="31" t="s">
        <v>1</v>
      </c>
      <c r="D7" s="21">
        <v>2.0833333333333332E-2</v>
      </c>
      <c r="E7" s="12">
        <v>0.5</v>
      </c>
      <c r="F7" s="12">
        <f t="shared" ref="F7" si="2">MAX(E7-D7*24,0)</f>
        <v>0</v>
      </c>
      <c r="G7" s="7">
        <f>IF(E7&gt;0,24*D7/E7,0)</f>
        <v>1</v>
      </c>
    </row>
    <row r="8" spans="1:11" s="3" customFormat="1" x14ac:dyDescent="0.25">
      <c r="A8" s="3" t="s">
        <v>20</v>
      </c>
      <c r="B8" s="33"/>
      <c r="C8" s="40"/>
      <c r="D8" s="22"/>
      <c r="E8" s="11"/>
      <c r="F8" s="11"/>
      <c r="G8" s="6"/>
    </row>
    <row r="9" spans="1:11" outlineLevel="1" x14ac:dyDescent="0.25">
      <c r="A9" s="1" t="s">
        <v>22</v>
      </c>
      <c r="D9" s="23">
        <v>0</v>
      </c>
      <c r="E9" s="12">
        <v>0.25</v>
      </c>
      <c r="F9" s="12">
        <f t="shared" ref="F9:F17" si="3">MAX(E9-D9*24,0)</f>
        <v>0.25</v>
      </c>
      <c r="G9" s="7">
        <f>IF(E9&gt;0,24*D9/E9,0)</f>
        <v>0</v>
      </c>
    </row>
    <row r="10" spans="1:11" outlineLevel="1" x14ac:dyDescent="0.25">
      <c r="A10" s="1" t="s">
        <v>23</v>
      </c>
      <c r="D10" s="23">
        <v>0</v>
      </c>
      <c r="F10" s="12">
        <f t="shared" si="3"/>
        <v>0</v>
      </c>
      <c r="G10" s="7">
        <f t="shared" ref="G10:G17" si="4">IF(E10&gt;0,24*D10/E10,0)</f>
        <v>0</v>
      </c>
    </row>
    <row r="11" spans="1:11" outlineLevel="1" x14ac:dyDescent="0.25">
      <c r="D11" s="23">
        <v>0</v>
      </c>
      <c r="F11" s="12">
        <f t="shared" si="3"/>
        <v>0</v>
      </c>
      <c r="G11" s="7">
        <f t="shared" si="4"/>
        <v>0</v>
      </c>
    </row>
    <row r="12" spans="1:11" outlineLevel="1" x14ac:dyDescent="0.25">
      <c r="A12" s="39"/>
      <c r="D12" s="23">
        <v>0</v>
      </c>
      <c r="F12" s="12">
        <f t="shared" si="3"/>
        <v>0</v>
      </c>
      <c r="G12" s="7">
        <f t="shared" si="4"/>
        <v>0</v>
      </c>
    </row>
    <row r="13" spans="1:11" outlineLevel="1" x14ac:dyDescent="0.25">
      <c r="A13" s="37"/>
      <c r="D13" s="23">
        <v>0</v>
      </c>
      <c r="F13" s="12">
        <f t="shared" si="3"/>
        <v>0</v>
      </c>
      <c r="G13" s="7">
        <f t="shared" si="4"/>
        <v>0</v>
      </c>
    </row>
    <row r="14" spans="1:11" outlineLevel="1" x14ac:dyDescent="0.25">
      <c r="A14" s="9"/>
      <c r="D14" s="23">
        <v>0</v>
      </c>
      <c r="F14" s="12">
        <f t="shared" si="3"/>
        <v>0</v>
      </c>
      <c r="G14" s="7">
        <f t="shared" si="4"/>
        <v>0</v>
      </c>
    </row>
    <row r="15" spans="1:11" outlineLevel="1" x14ac:dyDescent="0.25">
      <c r="A15" s="9"/>
      <c r="D15" s="23">
        <v>0</v>
      </c>
      <c r="F15" s="12">
        <f t="shared" si="3"/>
        <v>0</v>
      </c>
      <c r="G15" s="7">
        <f t="shared" si="4"/>
        <v>0</v>
      </c>
    </row>
    <row r="16" spans="1:11" outlineLevel="1" x14ac:dyDescent="0.25">
      <c r="A16" s="9"/>
      <c r="D16" s="23">
        <v>0</v>
      </c>
      <c r="F16" s="12">
        <f t="shared" si="3"/>
        <v>0</v>
      </c>
      <c r="G16" s="7">
        <f t="shared" si="4"/>
        <v>0</v>
      </c>
    </row>
    <row r="17" spans="1:7" outlineLevel="1" x14ac:dyDescent="0.25">
      <c r="A17" s="9"/>
      <c r="D17" s="23">
        <v>0</v>
      </c>
      <c r="F17" s="12">
        <f t="shared" si="3"/>
        <v>0</v>
      </c>
      <c r="G17" s="7">
        <f t="shared" si="4"/>
        <v>0</v>
      </c>
    </row>
    <row r="18" spans="1:7" outlineLevel="1" x14ac:dyDescent="0.25">
      <c r="A18" s="9"/>
      <c r="D18" s="23">
        <v>0</v>
      </c>
      <c r="F18" s="12">
        <f>MAX(E18-D18*24,0)</f>
        <v>0</v>
      </c>
      <c r="G18" s="7">
        <f>IF(E18&gt;0,24*D18/E18,0)</f>
        <v>0</v>
      </c>
    </row>
    <row r="19" spans="1:7" s="3" customFormat="1" x14ac:dyDescent="0.25">
      <c r="A19" s="3" t="s">
        <v>21</v>
      </c>
      <c r="B19" s="33"/>
      <c r="C19" s="40"/>
      <c r="D19" s="22"/>
      <c r="E19" s="11"/>
      <c r="F19" s="11"/>
      <c r="G19" s="6"/>
    </row>
    <row r="20" spans="1:7" outlineLevel="1" x14ac:dyDescent="0.25">
      <c r="A20" s="1" t="s">
        <v>24</v>
      </c>
      <c r="D20" s="23">
        <v>0</v>
      </c>
      <c r="F20" s="12">
        <f t="shared" ref="F20:F28" si="5">MAX(E20-D20*24,0)</f>
        <v>0</v>
      </c>
      <c r="G20" s="7">
        <f>IF(E20&gt;0,24*D20/E20,0)</f>
        <v>0</v>
      </c>
    </row>
    <row r="21" spans="1:7" outlineLevel="1" x14ac:dyDescent="0.25">
      <c r="A21" s="1" t="s">
        <v>25</v>
      </c>
      <c r="B21" s="31" t="s">
        <v>11</v>
      </c>
      <c r="D21" s="23">
        <v>2.0833333333333332E-2</v>
      </c>
      <c r="E21" s="12">
        <v>0.25</v>
      </c>
      <c r="F21" s="12">
        <f t="shared" si="5"/>
        <v>0</v>
      </c>
      <c r="G21" s="7">
        <f t="shared" ref="G21:G28" si="6">IF(E21&gt;0,24*D21/E21,0)</f>
        <v>2</v>
      </c>
    </row>
    <row r="22" spans="1:7" outlineLevel="1" x14ac:dyDescent="0.25">
      <c r="D22" s="23">
        <v>0</v>
      </c>
      <c r="F22" s="12">
        <f t="shared" si="5"/>
        <v>0</v>
      </c>
      <c r="G22" s="7">
        <f t="shared" si="6"/>
        <v>0</v>
      </c>
    </row>
    <row r="23" spans="1:7" outlineLevel="1" x14ac:dyDescent="0.25">
      <c r="B23" s="36"/>
      <c r="D23" s="23">
        <v>0</v>
      </c>
      <c r="F23" s="12">
        <f t="shared" si="5"/>
        <v>0</v>
      </c>
      <c r="G23" s="7">
        <f t="shared" si="6"/>
        <v>0</v>
      </c>
    </row>
    <row r="24" spans="1:7" outlineLevel="1" x14ac:dyDescent="0.25">
      <c r="A24" s="37"/>
      <c r="D24" s="23">
        <v>0</v>
      </c>
      <c r="F24" s="12">
        <f t="shared" si="5"/>
        <v>0</v>
      </c>
      <c r="G24" s="7">
        <f t="shared" si="6"/>
        <v>0</v>
      </c>
    </row>
    <row r="25" spans="1:7" ht="60" outlineLevel="1" x14ac:dyDescent="0.25">
      <c r="A25" s="1" t="s">
        <v>26</v>
      </c>
      <c r="B25" s="36" t="s">
        <v>27</v>
      </c>
      <c r="D25" s="23">
        <v>0.28125</v>
      </c>
      <c r="F25" s="12">
        <f t="shared" si="5"/>
        <v>0</v>
      </c>
      <c r="G25" s="7">
        <f t="shared" si="6"/>
        <v>0</v>
      </c>
    </row>
    <row r="26" spans="1:7" outlineLevel="1" x14ac:dyDescent="0.25">
      <c r="A26" s="37"/>
      <c r="B26" s="36"/>
      <c r="D26" s="23">
        <v>0</v>
      </c>
      <c r="F26" s="12">
        <f t="shared" si="5"/>
        <v>0</v>
      </c>
      <c r="G26" s="7">
        <f t="shared" si="6"/>
        <v>0</v>
      </c>
    </row>
    <row r="27" spans="1:7" outlineLevel="1" x14ac:dyDescent="0.25">
      <c r="A27" s="37"/>
      <c r="B27" s="36"/>
      <c r="D27" s="23">
        <v>0</v>
      </c>
      <c r="F27" s="12">
        <f t="shared" si="5"/>
        <v>0</v>
      </c>
      <c r="G27" s="7">
        <f t="shared" si="6"/>
        <v>0</v>
      </c>
    </row>
    <row r="28" spans="1:7" outlineLevel="1" x14ac:dyDescent="0.25">
      <c r="A28" s="37"/>
      <c r="D28" s="23">
        <v>0</v>
      </c>
      <c r="F28" s="12">
        <f t="shared" si="5"/>
        <v>0</v>
      </c>
      <c r="G28" s="7">
        <f t="shared" si="6"/>
        <v>0</v>
      </c>
    </row>
    <row r="29" spans="1:7" outlineLevel="1" x14ac:dyDescent="0.25">
      <c r="A29" s="37"/>
      <c r="D29" s="23">
        <v>0</v>
      </c>
      <c r="F29" s="12">
        <f t="shared" ref="F29:F32" si="7">MAX(E29-D29*24,0)</f>
        <v>0</v>
      </c>
      <c r="G29" s="7">
        <f t="shared" ref="G29:G32" si="8">IF(E29&gt;0,24*D29/E29,0)</f>
        <v>0</v>
      </c>
    </row>
    <row r="30" spans="1:7" outlineLevel="1" x14ac:dyDescent="0.25">
      <c r="A30" s="37"/>
      <c r="D30" s="23">
        <v>0</v>
      </c>
      <c r="F30" s="12">
        <f t="shared" si="7"/>
        <v>0</v>
      </c>
      <c r="G30" s="7">
        <f t="shared" si="8"/>
        <v>0</v>
      </c>
    </row>
    <row r="31" spans="1:7" outlineLevel="1" x14ac:dyDescent="0.25">
      <c r="A31" s="37"/>
      <c r="D31" s="23">
        <v>0</v>
      </c>
      <c r="F31" s="12">
        <f t="shared" si="7"/>
        <v>0</v>
      </c>
      <c r="G31" s="7">
        <f t="shared" si="8"/>
        <v>0</v>
      </c>
    </row>
    <row r="32" spans="1:7" outlineLevel="1" x14ac:dyDescent="0.25">
      <c r="A32" s="37"/>
      <c r="D32" s="23">
        <v>0</v>
      </c>
      <c r="F32" s="12">
        <f t="shared" si="7"/>
        <v>0</v>
      </c>
      <c r="G32" s="7">
        <f t="shared" si="8"/>
        <v>0</v>
      </c>
    </row>
    <row r="33" spans="1:7" outlineLevel="1" x14ac:dyDescent="0.25">
      <c r="A33" s="37"/>
      <c r="D33" s="23">
        <v>0</v>
      </c>
      <c r="F33" s="12">
        <f>MAX(E33-D33*24,0)</f>
        <v>0</v>
      </c>
      <c r="G33" s="7">
        <f>IF(E33&gt;0,24*D33/E33,0)</f>
        <v>0</v>
      </c>
    </row>
    <row r="34" spans="1:7" s="4" customFormat="1" x14ac:dyDescent="0.25">
      <c r="A34" s="3" t="s">
        <v>2</v>
      </c>
      <c r="B34" s="34"/>
      <c r="C34" s="42"/>
      <c r="D34" s="22"/>
      <c r="E34" s="13"/>
      <c r="F34" s="13"/>
      <c r="G34" s="8"/>
    </row>
    <row r="35" spans="1:7" s="1" customFormat="1" x14ac:dyDescent="0.25">
      <c r="A35" s="37"/>
      <c r="B35" s="38"/>
      <c r="C35" s="2"/>
      <c r="D35" s="21">
        <v>0</v>
      </c>
      <c r="E35" s="14"/>
      <c r="F35" s="12">
        <f>MAX(E35-D35*24,0)</f>
        <v>0</v>
      </c>
      <c r="G35" s="7">
        <f t="shared" ref="G35:G39" si="9">IF(E35&gt;0,24*D35/E35,0)</f>
        <v>0</v>
      </c>
    </row>
    <row r="36" spans="1:7" s="1" customFormat="1" x14ac:dyDescent="0.25">
      <c r="A36" s="29"/>
      <c r="B36" s="35"/>
      <c r="C36" s="43"/>
      <c r="D36" s="21">
        <v>0</v>
      </c>
      <c r="E36" s="28"/>
      <c r="F36" s="12">
        <f>MAX(E36-D36*24,0)</f>
        <v>0</v>
      </c>
      <c r="G36" s="7">
        <f t="shared" si="9"/>
        <v>0</v>
      </c>
    </row>
    <row r="37" spans="1:7" x14ac:dyDescent="0.25">
      <c r="A37" s="30"/>
      <c r="D37" s="23">
        <v>0</v>
      </c>
      <c r="F37" s="12">
        <f t="shared" ref="F37:F39" si="10">MAX(E37-D37*24,0)</f>
        <v>0</v>
      </c>
      <c r="G37" s="7">
        <f t="shared" si="9"/>
        <v>0</v>
      </c>
    </row>
    <row r="38" spans="1:7" x14ac:dyDescent="0.25">
      <c r="A38" s="30"/>
      <c r="D38" s="23">
        <v>0</v>
      </c>
      <c r="F38" s="12">
        <f t="shared" si="10"/>
        <v>0</v>
      </c>
      <c r="G38" s="7">
        <f t="shared" si="9"/>
        <v>0</v>
      </c>
    </row>
    <row r="39" spans="1:7" x14ac:dyDescent="0.25">
      <c r="A39" s="30"/>
      <c r="D39" s="23">
        <v>0</v>
      </c>
      <c r="F39" s="12">
        <f t="shared" si="10"/>
        <v>0</v>
      </c>
      <c r="G39" s="7">
        <f t="shared" si="9"/>
        <v>0</v>
      </c>
    </row>
    <row r="47" spans="1:7" x14ac:dyDescent="0.25">
      <c r="F47" s="15"/>
    </row>
    <row r="48" spans="1:7" x14ac:dyDescent="0.25">
      <c r="F48" s="16"/>
    </row>
    <row r="49" spans="6:6" x14ac:dyDescent="0.25">
      <c r="F49" s="16"/>
    </row>
    <row r="50" spans="6:6" x14ac:dyDescent="0.25">
      <c r="F50" s="16"/>
    </row>
    <row r="51" spans="6:6" x14ac:dyDescent="0.25">
      <c r="F51" s="16"/>
    </row>
    <row r="55" spans="6:6" x14ac:dyDescent="0.25">
      <c r="F55" s="15"/>
    </row>
    <row r="56" spans="6:6" x14ac:dyDescent="0.25">
      <c r="F56" s="16"/>
    </row>
    <row r="57" spans="6:6" x14ac:dyDescent="0.25">
      <c r="F57" s="16"/>
    </row>
  </sheetData>
  <conditionalFormatting sqref="G1:G1048576">
    <cfRule type="colorScale" priority="1">
      <colorScale>
        <cfvo type="num" val="0"/>
        <cfvo type="num" val="1"/>
        <cfvo type="num" val="1.0000000099999999"/>
        <color theme="0"/>
        <color theme="5"/>
        <color rgb="FFFF0000"/>
      </colorScale>
    </cfRule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{C7E5C5AC-17E3-4B53-BEC9-353939A66812}</x14:id>
        </ext>
      </extLst>
    </cfRule>
  </conditionalFormatting>
  <conditionalFormatting sqref="J3">
    <cfRule type="colorScale" priority="11">
      <colorScale>
        <cfvo type="num" val="0"/>
        <cfvo type="num" val="0.33333299999999999"/>
        <color theme="5"/>
        <color theme="9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E49430E4-AB9E-4852-9E99-5EFB6919FC8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C1:C1048576</xm:sqref>
        </x14:conditionalFormatting>
        <x14:conditionalFormatting xmlns:xm="http://schemas.microsoft.com/office/excel/2006/main">
          <x14:cfRule type="iconSet" priority="21" id="{10E1C7D5-2A1C-442D-9844-861D1C1C61E2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1"/>
            </x14:iconSet>
          </x14:cfRule>
          <xm:sqref>D1:D1048576</xm:sqref>
        </x14:conditionalFormatting>
        <x14:conditionalFormatting xmlns:xm="http://schemas.microsoft.com/office/excel/2006/main">
          <x14:cfRule type="dataBar" id="{C7E5C5AC-17E3-4B53-BEC9-353939A6681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iconSet" priority="8" id="{95CCF8BD-8447-436F-91E0-893267A923E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0.33333299999999999</xm:f>
              </x14:cfvo>
              <x14:cfIcon iconSet="NoIcons" iconId="0"/>
              <x14:cfIcon iconSet="NoIcons" iconId="0"/>
              <x14:cfIcon iconSet="3TrafficLights1" iconId="2"/>
            </x14:iconSet>
          </x14:cfRule>
          <xm:sqref>J3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Nasuta</dc:creator>
  <cp:lastModifiedBy>Sebastian Nasuta</cp:lastModifiedBy>
  <dcterms:created xsi:type="dcterms:W3CDTF">2023-08-03T14:06:58Z</dcterms:created>
  <dcterms:modified xsi:type="dcterms:W3CDTF">2025-10-07T14:05:32Z</dcterms:modified>
</cp:coreProperties>
</file>